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tole-savics/Documents/Codabe/MINFI ADMINEEX/Avec Part/"/>
    </mc:Choice>
  </mc:AlternateContent>
  <xr:revisionPtr revIDLastSave="0" documentId="13_ncr:1_{948DB33A-5112-B647-AAD2-523BFFC215AD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Feuil1" sheetId="1" r:id="rId1"/>
    <sheet name="Feuil2" sheetId="2" r:id="rId2"/>
    <sheet name="Feuil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2" i="1" l="1"/>
  <c r="F71" i="1"/>
  <c r="G71" i="1" s="1"/>
  <c r="F70" i="1"/>
  <c r="F69" i="1"/>
  <c r="G69" i="1" s="1"/>
  <c r="F68" i="1"/>
  <c r="F67" i="1"/>
  <c r="G67" i="1" s="1"/>
  <c r="F66" i="1"/>
  <c r="G66" i="1" s="1"/>
  <c r="F65" i="1"/>
  <c r="G65" i="1" s="1"/>
  <c r="F64" i="1"/>
  <c r="G64" i="1" s="1"/>
  <c r="F63" i="1"/>
  <c r="G63" i="1" s="1"/>
  <c r="F62" i="1"/>
  <c r="F61" i="1"/>
  <c r="G61" i="1" s="1"/>
  <c r="G60" i="1"/>
  <c r="F60" i="1"/>
  <c r="F59" i="1"/>
  <c r="G59" i="1" s="1"/>
  <c r="F58" i="1"/>
  <c r="F57" i="1"/>
  <c r="G57" i="1" s="1"/>
  <c r="F56" i="1"/>
  <c r="F55" i="1"/>
  <c r="G55" i="1" s="1"/>
  <c r="F54" i="1"/>
  <c r="F53" i="1"/>
  <c r="G53" i="1" s="1"/>
  <c r="F52" i="1"/>
  <c r="G52" i="1" s="1"/>
  <c r="F51" i="1"/>
  <c r="G51" i="1" s="1"/>
  <c r="F50" i="1"/>
  <c r="E47" i="1"/>
  <c r="F47" i="1" s="1"/>
  <c r="G47" i="1" s="1"/>
  <c r="F46" i="1"/>
  <c r="G46" i="1" s="1"/>
  <c r="E43" i="1"/>
  <c r="F43" i="1" s="1"/>
  <c r="F42" i="1"/>
  <c r="G42" i="1" s="1"/>
  <c r="F41" i="1"/>
  <c r="G41" i="1" s="1"/>
  <c r="E38" i="1"/>
  <c r="F38" i="1" s="1"/>
  <c r="F37" i="1"/>
  <c r="F36" i="1"/>
  <c r="G36" i="1" s="1"/>
  <c r="F35" i="1"/>
  <c r="F34" i="1"/>
  <c r="G34" i="1" s="1"/>
  <c r="F33" i="1"/>
  <c r="F32" i="1"/>
  <c r="G32" i="1" s="1"/>
  <c r="F31" i="1"/>
  <c r="G31" i="1" s="1"/>
  <c r="F30" i="1"/>
  <c r="G30" i="1" s="1"/>
  <c r="E28" i="1"/>
  <c r="F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F20" i="1"/>
  <c r="G20" i="1" s="1"/>
  <c r="G62" i="1" l="1"/>
  <c r="H62" i="1" s="1"/>
  <c r="G70" i="1"/>
  <c r="H70" i="1" s="1"/>
  <c r="G54" i="1"/>
  <c r="H54" i="1" s="1"/>
  <c r="G50" i="1"/>
  <c r="H50" i="1" s="1"/>
  <c r="H52" i="1"/>
  <c r="G68" i="1"/>
  <c r="H68" i="1" s="1"/>
  <c r="G35" i="1"/>
  <c r="H35" i="1" s="1"/>
  <c r="H60" i="1"/>
  <c r="H23" i="1"/>
  <c r="H31" i="1"/>
  <c r="H42" i="1"/>
  <c r="G56" i="1"/>
  <c r="H56" i="1" s="1"/>
  <c r="G72" i="1"/>
  <c r="H72" i="1" s="1"/>
  <c r="H25" i="1"/>
  <c r="G33" i="1"/>
  <c r="H33" i="1" s="1"/>
  <c r="H27" i="1"/>
  <c r="H64" i="1"/>
  <c r="G21" i="1"/>
  <c r="H21" i="1" s="1"/>
  <c r="G37" i="1"/>
  <c r="H37" i="1" s="1"/>
  <c r="G58" i="1"/>
  <c r="H58" i="1" s="1"/>
  <c r="H66" i="1"/>
  <c r="G38" i="1"/>
  <c r="H38" i="1" s="1"/>
  <c r="G43" i="1"/>
  <c r="H43" i="1" s="1"/>
  <c r="G28" i="1"/>
  <c r="H28" i="1" s="1"/>
  <c r="H20" i="1"/>
  <c r="H22" i="1"/>
  <c r="H24" i="1"/>
  <c r="H26" i="1"/>
  <c r="H30" i="1"/>
  <c r="H32" i="1"/>
  <c r="H34" i="1"/>
  <c r="H36" i="1"/>
  <c r="H41" i="1"/>
  <c r="H46" i="1"/>
  <c r="H47" i="1"/>
  <c r="H51" i="1"/>
  <c r="H53" i="1"/>
  <c r="H55" i="1"/>
  <c r="H57" i="1"/>
  <c r="H59" i="1"/>
  <c r="H61" i="1"/>
  <c r="H63" i="1"/>
  <c r="H65" i="1"/>
  <c r="H67" i="1"/>
  <c r="H69" i="1"/>
  <c r="H71" i="1"/>
</calcChain>
</file>

<file path=xl/sharedStrings.xml><?xml version="1.0" encoding="utf-8"?>
<sst xmlns="http://schemas.openxmlformats.org/spreadsheetml/2006/main" count="179" uniqueCount="156">
  <si>
    <t xml:space="preserve">    </t>
  </si>
  <si>
    <t xml:space="preserve">                                                REPUBLIC OF CAMEROON</t>
  </si>
  <si>
    <t>REPUBLIQUE DU CAMEROUN</t>
  </si>
  <si>
    <t>,,,,,,,,,,,,,,,,,</t>
  </si>
  <si>
    <t>------------</t>
  </si>
  <si>
    <t xml:space="preserve"> </t>
  </si>
  <si>
    <t xml:space="preserve">                                                             PEACE - WORK - FATHERLAND</t>
  </si>
  <si>
    <t>PAIX- TRAVAIL - PATRIE</t>
  </si>
  <si>
    <t xml:space="preserve">                                                 '-----------</t>
  </si>
  <si>
    <t xml:space="preserve">          MINISTERE DES FINANCES</t>
  </si>
  <si>
    <t xml:space="preserve">                                                  MINISTRY OF FINANCE </t>
  </si>
  <si>
    <t xml:space="preserve">             </t>
  </si>
  <si>
    <t>SECRETARIAT GENERAL</t>
  </si>
  <si>
    <t xml:space="preserve">                                                   GENERAL SECRETARIAT</t>
  </si>
  <si>
    <t xml:space="preserve">                                             ------------</t>
  </si>
  <si>
    <t xml:space="preserve">        DIRECTION GENERALE  DU TRESOR, DE LA </t>
  </si>
  <si>
    <t xml:space="preserve">                                       DIRECTORATE GENERAL OF THE TREASURY, FINANCIAL</t>
  </si>
  <si>
    <t xml:space="preserve">       COOPERATION FINANCIERE ET MONETAIRE</t>
  </si>
  <si>
    <t xml:space="preserve">                                           AND MONETARY COOPERATION</t>
  </si>
  <si>
    <t>ETAT DE REPARTITIION  D' APPUI AU RECOUVREMENT CAC QUATRIEME TRIMESTRE 2024</t>
  </si>
  <si>
    <r>
      <t xml:space="preserve">I: </t>
    </r>
    <r>
      <rPr>
        <u/>
        <sz val="8"/>
        <rFont val="Arbatus Medium"/>
      </rPr>
      <t>PAIEMENTS PAR VIREMENT</t>
    </r>
  </si>
  <si>
    <t>a:  Services centraux, agences comptables et autres services</t>
  </si>
  <si>
    <t xml:space="preserve">N° </t>
  </si>
  <si>
    <t>NOMS ET PRENOMS</t>
  </si>
  <si>
    <t>MATRICULE</t>
  </si>
  <si>
    <t>Fonction/</t>
  </si>
  <si>
    <t>Nobre de parts</t>
  </si>
  <si>
    <t xml:space="preserve">MONTANT </t>
  </si>
  <si>
    <t>Net à</t>
  </si>
  <si>
    <t>CNI</t>
  </si>
  <si>
    <t>Obser
vations</t>
  </si>
  <si>
    <t>Emargement</t>
  </si>
  <si>
    <t>d'ordre</t>
  </si>
  <si>
    <t>Grade</t>
  </si>
  <si>
    <t>BRUT</t>
  </si>
  <si>
    <t>{5,28%}</t>
  </si>
  <si>
    <t>Percevoir</t>
  </si>
  <si>
    <t>MOH TANGONGHO Sylvestre</t>
  </si>
  <si>
    <t>519 680 - I</t>
  </si>
  <si>
    <t>IPT/DGTCFM</t>
  </si>
  <si>
    <t>MAMOUDOU SADOU</t>
  </si>
  <si>
    <t>596 578-V</t>
  </si>
  <si>
    <t>Asecu</t>
  </si>
  <si>
    <t>ASSOMO Sylvie</t>
  </si>
  <si>
    <t>667 713-B</t>
  </si>
  <si>
    <t>AE/BILLETEUR</t>
  </si>
  <si>
    <t>TCHIYA Rolande Elisée</t>
  </si>
  <si>
    <t>646 903-S</t>
  </si>
  <si>
    <t>CT/BILLETEUR</t>
  </si>
  <si>
    <t>TSALA Réné Magloire</t>
  </si>
  <si>
    <t>693 219-M</t>
  </si>
  <si>
    <t>AE/AB</t>
  </si>
  <si>
    <t>NGONO OWONA Henriette</t>
  </si>
  <si>
    <t>671 085-G</t>
  </si>
  <si>
    <t>AB</t>
  </si>
  <si>
    <t>ZE NKOUMOU Bénoit Arthur</t>
  </si>
  <si>
    <t>673 493-M</t>
  </si>
  <si>
    <t>TINDACHUPOK Dickson KUEFUE</t>
  </si>
  <si>
    <t>P-112 682</t>
  </si>
  <si>
    <t>CCA</t>
  </si>
  <si>
    <t>S/Total</t>
  </si>
  <si>
    <t>1.2.  SERVICE D'ORDRE</t>
  </si>
  <si>
    <t>ZE NKOUMOU Apollonie</t>
  </si>
  <si>
    <t>675 564-U</t>
  </si>
  <si>
    <t xml:space="preserve">CA/CSO </t>
  </si>
  <si>
    <t>ETABA ETABA Jean Nestor</t>
  </si>
  <si>
    <t>656 047-X</t>
  </si>
  <si>
    <t>CA/CBCL</t>
  </si>
  <si>
    <t>MBARGA OWONO Martin</t>
  </si>
  <si>
    <t>680 412-B</t>
  </si>
  <si>
    <t>AE/CBAI</t>
  </si>
  <si>
    <t>ABBE ESSOH Nathalie Armelle épse IBY</t>
  </si>
  <si>
    <t>782 199-A</t>
  </si>
  <si>
    <t>CAT/CBA</t>
  </si>
  <si>
    <t>ONANA ANDJE Paulin</t>
  </si>
  <si>
    <t>664 557-K</t>
  </si>
  <si>
    <t>APOUA LAURENCE</t>
  </si>
  <si>
    <t>742 526-G</t>
  </si>
  <si>
    <t>AEAB</t>
  </si>
  <si>
    <t>FOUDA MBALLA Lionel Alphonse</t>
  </si>
  <si>
    <t>ECI</t>
  </si>
  <si>
    <t>CARFT</t>
  </si>
  <si>
    <t>EKODO OTTOU CYNTHIA</t>
  </si>
  <si>
    <t>CARFT/P AYOS</t>
  </si>
  <si>
    <t>BIBLIOTHEQUE</t>
  </si>
  <si>
    <t>MALONG MINKALA Bernadette Gladys</t>
  </si>
  <si>
    <t>R-104 759</t>
  </si>
  <si>
    <t>INS/DOCUMENTATION</t>
  </si>
  <si>
    <t>MADAM ALIFA KASSALA</t>
  </si>
  <si>
    <t>738 302-Q</t>
  </si>
  <si>
    <t>CA/bibliotheque</t>
  </si>
  <si>
    <t>CONTRÔLE DE GESTION</t>
  </si>
  <si>
    <t>BESSALA Patrick Hervé</t>
  </si>
  <si>
    <t>655 812-M</t>
  </si>
  <si>
    <t>IT/AC/CG/IS</t>
  </si>
  <si>
    <t>1. CABINET DU DCP</t>
  </si>
  <si>
    <t>BASAHAG Achile</t>
  </si>
  <si>
    <t xml:space="preserve">559 311 - I </t>
  </si>
  <si>
    <t>IPT/DCP</t>
  </si>
  <si>
    <t>KABEYENE Marlyse Annick</t>
  </si>
  <si>
    <t>789 072-D</t>
  </si>
  <si>
    <t>ESSOME TICKY épse SAMNICK</t>
  </si>
  <si>
    <t>737 257-B</t>
  </si>
  <si>
    <t>CCA/Ca</t>
  </si>
  <si>
    <t xml:space="preserve"> NKOULOU Madeleine</t>
  </si>
  <si>
    <t>785 608-M</t>
  </si>
  <si>
    <t>CT</t>
  </si>
  <si>
    <t>ESSOMBA Jean Pierre</t>
  </si>
  <si>
    <t>W-035 643</t>
  </si>
  <si>
    <t>CT/Ca</t>
  </si>
  <si>
    <t>NZOGANG TETCHIA Gabriel TALLA</t>
  </si>
  <si>
    <t>689 528-M</t>
  </si>
  <si>
    <t>Programmeur</t>
  </si>
  <si>
    <t>SANDA Clément</t>
  </si>
  <si>
    <t>601 113-J</t>
  </si>
  <si>
    <t>IPCM</t>
  </si>
  <si>
    <t>ZECHIO TSAKEM Laurence</t>
  </si>
  <si>
    <t>J-144 185</t>
  </si>
  <si>
    <t>MAMMA Thérèse Nadine</t>
  </si>
  <si>
    <t>648 735-V</t>
  </si>
  <si>
    <t>IT/RM/CU NDRE</t>
  </si>
  <si>
    <t>ISSA KUECHO</t>
  </si>
  <si>
    <t>601 066-U</t>
  </si>
  <si>
    <t>IT/AC</t>
  </si>
  <si>
    <t>AVEZO'O ESTHER MIREILLE</t>
  </si>
  <si>
    <t>P-105 821</t>
  </si>
  <si>
    <t>CT/CA</t>
  </si>
  <si>
    <t xml:space="preserve">ODZOLO  STEPHANE MARIE </t>
  </si>
  <si>
    <t>L-106 148</t>
  </si>
  <si>
    <t>NDONGO SECK ROSETTE</t>
  </si>
  <si>
    <t>O-106 083</t>
  </si>
  <si>
    <t>HAIWANG MBOUDGASSO Basile</t>
  </si>
  <si>
    <t>ECC</t>
  </si>
  <si>
    <t>CCA/CA</t>
  </si>
  <si>
    <t>MADJOU FOTSING DANIELLE ARIANE</t>
  </si>
  <si>
    <t>C-011 383</t>
  </si>
  <si>
    <t>IT/CSVT</t>
  </si>
  <si>
    <t>NGA NDONGO Valentin Paulin</t>
  </si>
  <si>
    <t>638 327-A</t>
  </si>
  <si>
    <t>CPT/P /MANJO</t>
  </si>
  <si>
    <t>DEFICITAIRE</t>
  </si>
  <si>
    <t>HANG Emmanuel</t>
  </si>
  <si>
    <t>588 560 - V</t>
  </si>
  <si>
    <t>IT/FP1/MRA</t>
  </si>
  <si>
    <t>SEBDOU Jean</t>
  </si>
  <si>
    <t>IRFT/Ca</t>
  </si>
  <si>
    <t>EBANGA EBANGA Serge Edgar</t>
  </si>
  <si>
    <t>V-035 454</t>
  </si>
  <si>
    <t>Serges ZE Ferdinand</t>
  </si>
  <si>
    <t>ELOUNDOU EYENGA Ange Elsa</t>
  </si>
  <si>
    <t>Y-167 184</t>
  </si>
  <si>
    <t>MBOLLO ZOA Linda Gaelle épse BESSILE BO</t>
  </si>
  <si>
    <t>638 325-J</t>
  </si>
  <si>
    <t>IT/CBPGT/P</t>
  </si>
  <si>
    <t>MEYANGA MOTAZE Synthiche Denise</t>
  </si>
  <si>
    <t>R-167 278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</si>
</sst>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&quot; &quot;?/2"/>
    <numFmt numFmtId="166" formatCode="General_)"/>
  </numFmts>
  <fonts count="2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name val="Albetus Medium"/>
    </font>
    <font>
      <sz val="8"/>
      <name val="Arbatus Medium"/>
    </font>
    <font>
      <sz val="8"/>
      <color theme="1"/>
      <name val="Albetus Medium"/>
    </font>
    <font>
      <i/>
      <sz val="8"/>
      <name val="Arbatus Medium"/>
    </font>
    <font>
      <u/>
      <sz val="8"/>
      <color rgb="FFFF0000"/>
      <name val="Arbatus Medium"/>
    </font>
    <font>
      <sz val="8"/>
      <color rgb="FFFF0000"/>
      <name val="Arbatus Medium"/>
    </font>
    <font>
      <u/>
      <sz val="8"/>
      <name val="Arbatus Medium"/>
    </font>
    <font>
      <sz val="8"/>
      <color indexed="23"/>
      <name val="Arbatus Medium"/>
    </font>
    <font>
      <sz val="8"/>
      <name val="Albetus Medium"/>
    </font>
    <font>
      <b/>
      <sz val="9"/>
      <name val="Arbatus Medium"/>
    </font>
    <font>
      <sz val="8"/>
      <color indexed="21"/>
      <name val="Arbatus Medium"/>
    </font>
    <font>
      <sz val="8"/>
      <color rgb="FFFF0000"/>
      <name val="Albetus Medium"/>
    </font>
    <font>
      <sz val="9"/>
      <color rgb="FFFF0000"/>
      <name val="Calibri"/>
      <family val="2"/>
      <scheme val="minor"/>
    </font>
    <font>
      <sz val="8"/>
      <color rgb="FFFF0000"/>
      <name val="Arial"/>
      <family val="2"/>
    </font>
    <font>
      <sz val="9"/>
      <name val="Arbatus Medium"/>
    </font>
    <font>
      <b/>
      <sz val="8"/>
      <name val="Arbatus Medium"/>
    </font>
    <font>
      <sz val="8"/>
      <color rgb="FF333333"/>
      <name val="Arbatus Medium"/>
    </font>
    <font>
      <sz val="8"/>
      <color theme="1"/>
      <name val="Arbatus Medium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8"/>
      <color rgb="FF333333"/>
      <name val="Albetus Medium"/>
    </font>
    <font>
      <b/>
      <sz val="8"/>
      <color theme="1"/>
      <name val="Albetus Medium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6969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165" fontId="2" fillId="0" borderId="0" xfId="0" applyNumberFormat="1" applyFont="1" applyAlignment="1">
      <alignment horizontal="center"/>
    </xf>
    <xf numFmtId="3" fontId="3" fillId="0" borderId="0" xfId="0" applyNumberFormat="1" applyFont="1"/>
    <xf numFmtId="165" fontId="2" fillId="0" borderId="0" xfId="0" quotePrefix="1" applyNumberFormat="1" applyFont="1" applyAlignment="1">
      <alignment horizontal="center"/>
    </xf>
    <xf numFmtId="0" fontId="4" fillId="0" borderId="0" xfId="0" applyFont="1" applyAlignment="1">
      <alignment horizontal="right"/>
    </xf>
    <xf numFmtId="3" fontId="2" fillId="0" borderId="0" xfId="0" applyNumberFormat="1" applyFont="1" applyAlignment="1">
      <alignment horizontal="center"/>
    </xf>
    <xf numFmtId="0" fontId="4" fillId="0" borderId="0" xfId="0" applyFont="1"/>
    <xf numFmtId="165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7" fillId="0" borderId="0" xfId="0" applyFont="1"/>
    <xf numFmtId="3" fontId="7" fillId="0" borderId="0" xfId="0" applyNumberFormat="1" applyFont="1"/>
    <xf numFmtId="165" fontId="3" fillId="0" borderId="0" xfId="0" applyNumberFormat="1" applyFont="1" applyAlignment="1">
      <alignment horizontal="left"/>
    </xf>
    <xf numFmtId="0" fontId="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/>
    <xf numFmtId="3" fontId="2" fillId="2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/>
    <xf numFmtId="166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 applyProtection="1">
      <alignment horizontal="center"/>
      <protection locked="0"/>
    </xf>
    <xf numFmtId="165" fontId="3" fillId="0" borderId="1" xfId="0" applyNumberFormat="1" applyFont="1" applyBorder="1" applyAlignment="1">
      <alignment horizontal="center"/>
    </xf>
    <xf numFmtId="0" fontId="3" fillId="4" borderId="1" xfId="0" applyFont="1" applyFill="1" applyBorder="1"/>
    <xf numFmtId="166" fontId="3" fillId="0" borderId="1" xfId="0" applyNumberFormat="1" applyFont="1" applyBorder="1"/>
    <xf numFmtId="166" fontId="10" fillId="0" borderId="1" xfId="0" applyNumberFormat="1" applyFont="1" applyBorder="1"/>
    <xf numFmtId="49" fontId="10" fillId="0" borderId="1" xfId="0" applyNumberFormat="1" applyFont="1" applyBorder="1" applyAlignment="1" applyProtection="1">
      <alignment horizontal="center"/>
      <protection locked="0"/>
    </xf>
    <xf numFmtId="3" fontId="1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center"/>
    </xf>
    <xf numFmtId="3" fontId="12" fillId="0" borderId="1" xfId="0" applyNumberFormat="1" applyFont="1" applyBorder="1" applyAlignment="1">
      <alignment horizontal="center"/>
    </xf>
    <xf numFmtId="3" fontId="12" fillId="0" borderId="1" xfId="0" applyNumberFormat="1" applyFont="1" applyBorder="1"/>
    <xf numFmtId="0" fontId="12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5" fontId="13" fillId="0" borderId="1" xfId="0" applyNumberFormat="1" applyFont="1" applyBorder="1" applyAlignment="1">
      <alignment horizontal="center"/>
    </xf>
    <xf numFmtId="3" fontId="7" fillId="0" borderId="1" xfId="0" applyNumberFormat="1" applyFont="1" applyBorder="1"/>
    <xf numFmtId="0" fontId="1" fillId="0" borderId="0" xfId="0" applyFont="1"/>
    <xf numFmtId="0" fontId="14" fillId="0" borderId="0" xfId="0" applyFont="1"/>
    <xf numFmtId="0" fontId="15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3" fontId="3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3" fontId="16" fillId="0" borderId="1" xfId="0" applyNumberFormat="1" applyFont="1" applyBorder="1"/>
    <xf numFmtId="0" fontId="11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3" fontId="11" fillId="0" borderId="1" xfId="0" applyNumberFormat="1" applyFont="1" applyBorder="1"/>
    <xf numFmtId="3" fontId="11" fillId="0" borderId="3" xfId="0" applyNumberFormat="1" applyFont="1" applyBorder="1"/>
    <xf numFmtId="0" fontId="1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1" fillId="0" borderId="5" xfId="0" applyNumberFormat="1" applyFont="1" applyBorder="1" applyAlignment="1">
      <alignment horizontal="center"/>
    </xf>
    <xf numFmtId="3" fontId="16" fillId="0" borderId="4" xfId="0" applyNumberFormat="1" applyFont="1" applyBorder="1"/>
    <xf numFmtId="3" fontId="3" fillId="0" borderId="6" xfId="0" applyNumberFormat="1" applyFont="1" applyBorder="1"/>
    <xf numFmtId="0" fontId="3" fillId="0" borderId="1" xfId="0" applyFont="1" applyBorder="1" applyAlignment="1">
      <alignment horizontal="left" wrapText="1"/>
    </xf>
    <xf numFmtId="0" fontId="3" fillId="4" borderId="1" xfId="0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0" fontId="18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19" fillId="0" borderId="0" xfId="0" applyFont="1"/>
    <xf numFmtId="0" fontId="10" fillId="0" borderId="1" xfId="0" applyFont="1" applyBorder="1" applyAlignment="1">
      <alignment horizontal="justify" vertical="top"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165" fontId="10" fillId="0" borderId="1" xfId="0" applyNumberFormat="1" applyFont="1" applyBorder="1" applyAlignment="1">
      <alignment horizontal="center"/>
    </xf>
    <xf numFmtId="0" fontId="20" fillId="0" borderId="1" xfId="0" applyFont="1" applyBorder="1"/>
    <xf numFmtId="0" fontId="21" fillId="0" borderId="0" xfId="0" applyFont="1" applyAlignment="1">
      <alignment horizontal="justify" vertical="center"/>
    </xf>
    <xf numFmtId="0" fontId="22" fillId="0" borderId="1" xfId="0" applyFont="1" applyBorder="1"/>
    <xf numFmtId="0" fontId="7" fillId="0" borderId="1" xfId="0" applyFont="1" applyBorder="1"/>
    <xf numFmtId="3" fontId="10" fillId="0" borderId="1" xfId="0" applyNumberFormat="1" applyFont="1" applyBorder="1"/>
    <xf numFmtId="0" fontId="23" fillId="0" borderId="1" xfId="0" applyFont="1" applyBorder="1" applyAlignment="1">
      <alignment horizontal="justify" vertical="top" wrapText="1"/>
    </xf>
    <xf numFmtId="3" fontId="2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horizontal="center"/>
    </xf>
    <xf numFmtId="3" fontId="2" fillId="4" borderId="1" xfId="0" applyNumberFormat="1" applyFont="1" applyFill="1" applyBorder="1"/>
    <xf numFmtId="3" fontId="2" fillId="4" borderId="1" xfId="0" applyNumberFormat="1" applyFont="1" applyFill="1" applyBorder="1" applyAlignment="1">
      <alignment horizontal="center"/>
    </xf>
    <xf numFmtId="0" fontId="3" fillId="0" borderId="5" xfId="0" applyFont="1" applyBorder="1"/>
    <xf numFmtId="0" fontId="25" fillId="0" borderId="0" xfId="0" applyFont="1"/>
    <xf numFmtId="0" fontId="3" fillId="0" borderId="7" xfId="0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left"/>
    </xf>
    <xf numFmtId="3" fontId="3" fillId="2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742950</xdr:colOff>
      <xdr:row>0</xdr:row>
      <xdr:rowOff>0</xdr:rowOff>
    </xdr:from>
    <xdr:to>
      <xdr:col>6</xdr:col>
      <xdr:colOff>171450</xdr:colOff>
      <xdr:row>9</xdr:row>
      <xdr:rowOff>28575</xdr:rowOff>
    </xdr:to>
    <xdr:pic>
      <xdr:nvPicPr>
        <xdr:cNvPr id="2" name="Image 1" descr="armoirie du ca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29175" y="0"/>
          <a:ext cx="1152525" cy="1743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</xdr:col>
      <xdr:colOff>619125</xdr:colOff>
      <xdr:row>72</xdr:row>
      <xdr:rowOff>0</xdr:rowOff>
    </xdr:from>
    <xdr:ext cx="184731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829050" y="84286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  <xdr:oneCellAnchor>
    <xdr:from>
      <xdr:col>1</xdr:col>
      <xdr:colOff>1524000</xdr:colOff>
      <xdr:row>72</xdr:row>
      <xdr:rowOff>0</xdr:rowOff>
    </xdr:from>
    <xdr:ext cx="184731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914525" y="29039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workbookViewId="0">
      <selection activeCell="E29" sqref="E29"/>
    </sheetView>
  </sheetViews>
  <sheetFormatPr baseColWidth="10" defaultRowHeight="15"/>
  <cols>
    <col min="1" max="1" width="5.83203125" customWidth="1"/>
    <col min="2" max="2" width="31" customWidth="1"/>
    <col min="3" max="3" width="11.33203125" customWidth="1"/>
    <col min="4" max="4" width="13.1640625" customWidth="1"/>
    <col min="5" max="5" width="13" customWidth="1"/>
    <col min="6" max="8" width="12.83203125" customWidth="1"/>
    <col min="15" max="15" width="14" customWidth="1"/>
  </cols>
  <sheetData>
    <row r="1" spans="1:12">
      <c r="A1" s="1" t="s">
        <v>0</v>
      </c>
      <c r="B1" s="2"/>
      <c r="C1" s="1"/>
      <c r="D1" s="3"/>
      <c r="E1" s="1"/>
      <c r="F1" s="4"/>
      <c r="G1" s="4"/>
      <c r="H1" s="4"/>
      <c r="I1" s="5" t="s">
        <v>1</v>
      </c>
      <c r="J1" s="4"/>
      <c r="K1" s="4"/>
      <c r="L1" s="6"/>
    </row>
    <row r="2" spans="1:12">
      <c r="A2" s="5"/>
      <c r="B2" s="5" t="s">
        <v>2</v>
      </c>
      <c r="C2" s="5"/>
      <c r="D2" s="4"/>
      <c r="E2" s="5"/>
      <c r="F2" s="4"/>
      <c r="G2" s="4"/>
      <c r="H2" s="4"/>
      <c r="I2" s="4"/>
      <c r="J2" s="1" t="s">
        <v>3</v>
      </c>
      <c r="K2" s="4"/>
      <c r="L2" s="6"/>
    </row>
    <row r="3" spans="1:12">
      <c r="A3" s="5"/>
      <c r="B3" s="7" t="s">
        <v>4</v>
      </c>
      <c r="C3" s="5"/>
      <c r="D3" s="4"/>
      <c r="E3" s="5" t="s">
        <v>5</v>
      </c>
      <c r="F3" s="4"/>
      <c r="G3" s="4"/>
      <c r="H3" s="4"/>
      <c r="I3" s="5" t="s">
        <v>6</v>
      </c>
      <c r="J3" s="4"/>
      <c r="K3" s="4"/>
      <c r="L3" s="6"/>
    </row>
    <row r="4" spans="1:12">
      <c r="A4" s="5"/>
      <c r="B4" s="5" t="s">
        <v>7</v>
      </c>
      <c r="C4" s="5"/>
      <c r="D4" s="4"/>
      <c r="E4" s="5"/>
      <c r="F4" s="4"/>
      <c r="G4" s="4"/>
      <c r="H4" s="4"/>
      <c r="I4" s="8"/>
      <c r="J4" s="2"/>
      <c r="K4" s="1"/>
      <c r="L4" s="6"/>
    </row>
    <row r="5" spans="1:12">
      <c r="A5" s="5"/>
      <c r="B5" s="7" t="s">
        <v>4</v>
      </c>
      <c r="C5" s="5"/>
      <c r="D5" s="4"/>
      <c r="E5" s="5"/>
      <c r="F5" s="4"/>
      <c r="G5" s="4"/>
      <c r="H5" s="4"/>
      <c r="I5" s="5" t="s">
        <v>8</v>
      </c>
      <c r="J5" s="4"/>
      <c r="K5" s="1"/>
      <c r="L5" s="6"/>
    </row>
    <row r="6" spans="1:12">
      <c r="A6" s="5"/>
      <c r="B6" s="5" t="s">
        <v>9</v>
      </c>
      <c r="C6" s="5"/>
      <c r="D6" s="4"/>
      <c r="E6" s="1"/>
      <c r="F6" s="4"/>
      <c r="G6" s="4"/>
      <c r="H6" s="4"/>
      <c r="I6" s="5" t="s">
        <v>10</v>
      </c>
      <c r="J6" s="4"/>
      <c r="K6" s="9"/>
      <c r="L6" s="6"/>
    </row>
    <row r="7" spans="1:12">
      <c r="A7" s="5"/>
      <c r="B7" s="7" t="s">
        <v>4</v>
      </c>
      <c r="C7" s="1"/>
      <c r="D7" s="4"/>
      <c r="E7" s="5"/>
      <c r="F7" s="4"/>
      <c r="G7" s="4"/>
      <c r="H7" s="4"/>
      <c r="I7" s="4" t="s">
        <v>11</v>
      </c>
      <c r="J7" s="9"/>
      <c r="K7" s="4"/>
      <c r="L7" s="6"/>
    </row>
    <row r="8" spans="1:12">
      <c r="A8" s="5"/>
      <c r="B8" s="5" t="s">
        <v>12</v>
      </c>
      <c r="C8" s="1"/>
      <c r="D8" s="4"/>
      <c r="E8" s="5"/>
      <c r="F8" s="4"/>
      <c r="G8" s="4"/>
      <c r="H8" s="4"/>
      <c r="I8" s="5" t="s">
        <v>13</v>
      </c>
      <c r="J8" s="4"/>
      <c r="K8" s="9"/>
      <c r="L8" s="6"/>
    </row>
    <row r="9" spans="1:12">
      <c r="A9" s="5"/>
      <c r="B9" s="7" t="s">
        <v>4</v>
      </c>
      <c r="C9" s="1"/>
      <c r="D9" s="4"/>
      <c r="E9" s="5"/>
      <c r="F9" s="4"/>
      <c r="G9" s="4"/>
      <c r="H9" s="4"/>
      <c r="I9" s="7" t="s">
        <v>14</v>
      </c>
      <c r="J9" s="4"/>
      <c r="K9" s="9"/>
      <c r="L9" s="6"/>
    </row>
    <row r="10" spans="1:12">
      <c r="A10" s="1"/>
      <c r="B10" s="5" t="s">
        <v>15</v>
      </c>
      <c r="C10" s="5"/>
      <c r="D10" s="4"/>
      <c r="E10" s="5"/>
      <c r="F10" s="4"/>
      <c r="G10" s="4"/>
      <c r="H10" s="4"/>
      <c r="I10" s="5" t="s">
        <v>16</v>
      </c>
      <c r="J10" s="4"/>
      <c r="K10" s="9"/>
      <c r="L10" s="6"/>
    </row>
    <row r="11" spans="1:12">
      <c r="A11" s="1"/>
      <c r="B11" s="5" t="s">
        <v>17</v>
      </c>
      <c r="C11" s="5"/>
      <c r="D11" s="4"/>
      <c r="E11" s="5"/>
      <c r="F11" s="4"/>
      <c r="G11" s="4"/>
      <c r="H11" s="4"/>
      <c r="I11" s="5" t="s">
        <v>18</v>
      </c>
      <c r="J11" s="4"/>
      <c r="K11" s="9"/>
      <c r="L11" s="6"/>
    </row>
    <row r="12" spans="1:12">
      <c r="A12" s="10"/>
      <c r="B12" s="7" t="s">
        <v>4</v>
      </c>
      <c r="C12" s="11"/>
      <c r="D12" s="4"/>
      <c r="E12" s="5"/>
      <c r="F12" s="5"/>
      <c r="G12" s="5"/>
      <c r="H12" s="5"/>
      <c r="I12" s="12"/>
      <c r="J12" s="5" t="s">
        <v>5</v>
      </c>
      <c r="K12" s="10"/>
      <c r="L12" s="6"/>
    </row>
    <row r="13" spans="1:12">
      <c r="A13" s="13" t="s">
        <v>5</v>
      </c>
      <c r="B13" s="13" t="s">
        <v>5</v>
      </c>
      <c r="C13" s="14"/>
      <c r="D13" s="13"/>
      <c r="E13" s="13"/>
      <c r="F13" s="13"/>
      <c r="G13" s="13"/>
      <c r="H13" s="13"/>
      <c r="I13" s="4"/>
      <c r="J13" s="15"/>
      <c r="K13" s="4"/>
      <c r="L13" s="6"/>
    </row>
    <row r="14" spans="1:12">
      <c r="A14" s="96" t="s">
        <v>19</v>
      </c>
      <c r="B14" s="96"/>
      <c r="C14" s="96"/>
      <c r="D14" s="96"/>
      <c r="E14" s="96"/>
      <c r="F14" s="96"/>
      <c r="G14" s="96"/>
      <c r="H14" s="96"/>
      <c r="I14" s="96"/>
      <c r="J14" s="96"/>
      <c r="K14" s="16"/>
      <c r="L14" s="17"/>
    </row>
    <row r="15" spans="1:12">
      <c r="A15" s="18"/>
      <c r="B15" s="4"/>
      <c r="C15" s="4"/>
      <c r="D15" s="13"/>
      <c r="E15" s="13"/>
      <c r="F15" s="13"/>
      <c r="G15" s="13"/>
      <c r="H15" s="13"/>
      <c r="I15" s="13"/>
      <c r="J15" s="13"/>
      <c r="K15" s="4"/>
      <c r="L15" s="6"/>
    </row>
    <row r="16" spans="1:12">
      <c r="A16" s="18"/>
      <c r="B16" s="13" t="s">
        <v>20</v>
      </c>
      <c r="C16" s="13"/>
      <c r="D16" s="13"/>
      <c r="E16" s="13"/>
      <c r="F16" s="13"/>
      <c r="G16" s="13"/>
      <c r="H16" s="13"/>
      <c r="I16" s="13"/>
      <c r="J16" s="13"/>
      <c r="K16" s="4"/>
      <c r="L16" s="6"/>
    </row>
    <row r="17" spans="1:12">
      <c r="A17" s="13"/>
      <c r="B17" s="97" t="s">
        <v>21</v>
      </c>
      <c r="C17" s="97"/>
      <c r="D17" s="97"/>
      <c r="E17" s="97"/>
      <c r="F17" s="97"/>
      <c r="G17" s="97"/>
      <c r="H17" s="97"/>
      <c r="I17" s="97"/>
      <c r="J17" s="14"/>
      <c r="K17" s="6"/>
      <c r="L17" s="6"/>
    </row>
    <row r="18" spans="1:12" ht="25">
      <c r="A18" s="19" t="s">
        <v>22</v>
      </c>
      <c r="B18" s="19" t="s">
        <v>23</v>
      </c>
      <c r="C18" s="19" t="s">
        <v>24</v>
      </c>
      <c r="D18" s="19" t="s">
        <v>25</v>
      </c>
      <c r="E18" s="98" t="s">
        <v>26</v>
      </c>
      <c r="F18" s="20" t="s">
        <v>27</v>
      </c>
      <c r="G18" s="20"/>
      <c r="H18" s="20" t="s">
        <v>28</v>
      </c>
      <c r="I18" s="21" t="s">
        <v>29</v>
      </c>
      <c r="J18" s="22" t="s">
        <v>30</v>
      </c>
      <c r="K18" s="22" t="s">
        <v>31</v>
      </c>
      <c r="L18" s="6"/>
    </row>
    <row r="19" spans="1:12">
      <c r="A19" s="19" t="s">
        <v>32</v>
      </c>
      <c r="B19" s="23"/>
      <c r="C19" s="19"/>
      <c r="D19" s="19" t="s">
        <v>33</v>
      </c>
      <c r="E19" s="98"/>
      <c r="F19" s="20" t="s">
        <v>34</v>
      </c>
      <c r="G19" s="24" t="s">
        <v>35</v>
      </c>
      <c r="H19" s="20" t="s">
        <v>36</v>
      </c>
      <c r="I19" s="19"/>
      <c r="J19" s="25"/>
      <c r="K19" s="19"/>
      <c r="L19" s="6"/>
    </row>
    <row r="20" spans="1:12">
      <c r="A20" s="21">
        <v>1</v>
      </c>
      <c r="B20" s="26" t="s">
        <v>37</v>
      </c>
      <c r="C20" s="21" t="s">
        <v>38</v>
      </c>
      <c r="D20" s="21" t="s">
        <v>39</v>
      </c>
      <c r="E20" s="27">
        <v>6</v>
      </c>
      <c r="F20" s="28">
        <f t="shared" ref="F20:F28" si="0">E20*170000</f>
        <v>1020000</v>
      </c>
      <c r="G20" s="28">
        <f>F20*5.28%</f>
        <v>53856</v>
      </c>
      <c r="H20" s="28">
        <f>F20-G20</f>
        <v>966144</v>
      </c>
      <c r="I20" s="21"/>
      <c r="J20" s="21"/>
      <c r="K20" s="21"/>
      <c r="L20" s="6"/>
    </row>
    <row r="21" spans="1:12">
      <c r="A21" s="21">
        <v>2</v>
      </c>
      <c r="B21" s="26" t="s">
        <v>40</v>
      </c>
      <c r="C21" s="21" t="s">
        <v>41</v>
      </c>
      <c r="D21" s="21" t="s">
        <v>42</v>
      </c>
      <c r="E21" s="21">
        <v>2</v>
      </c>
      <c r="F21" s="28">
        <f t="shared" si="0"/>
        <v>340000</v>
      </c>
      <c r="G21" s="28">
        <f t="shared" ref="G21:G27" si="1">F21*5.28%</f>
        <v>17952</v>
      </c>
      <c r="H21" s="28">
        <f t="shared" ref="H21:H27" si="2">F21-G21</f>
        <v>322048</v>
      </c>
      <c r="I21" s="27"/>
      <c r="J21" s="27"/>
      <c r="K21" s="21"/>
      <c r="L21" s="6"/>
    </row>
    <row r="22" spans="1:12">
      <c r="A22" s="21">
        <v>3</v>
      </c>
      <c r="B22" s="28" t="s">
        <v>43</v>
      </c>
      <c r="C22" s="29" t="s">
        <v>44</v>
      </c>
      <c r="D22" s="30" t="s">
        <v>45</v>
      </c>
      <c r="E22" s="21">
        <v>2</v>
      </c>
      <c r="F22" s="28">
        <f t="shared" si="0"/>
        <v>340000</v>
      </c>
      <c r="G22" s="28">
        <f t="shared" si="1"/>
        <v>17952</v>
      </c>
      <c r="H22" s="28">
        <f t="shared" si="2"/>
        <v>322048</v>
      </c>
      <c r="I22" s="21"/>
      <c r="J22" s="21"/>
      <c r="K22" s="21"/>
      <c r="L22" s="6"/>
    </row>
    <row r="23" spans="1:12">
      <c r="A23" s="21">
        <v>4</v>
      </c>
      <c r="B23" s="26" t="s">
        <v>46</v>
      </c>
      <c r="C23" s="21" t="s">
        <v>47</v>
      </c>
      <c r="D23" s="31" t="s">
        <v>48</v>
      </c>
      <c r="E23" s="27">
        <v>4</v>
      </c>
      <c r="F23" s="28">
        <f t="shared" si="0"/>
        <v>680000</v>
      </c>
      <c r="G23" s="28">
        <f t="shared" si="1"/>
        <v>35904</v>
      </c>
      <c r="H23" s="28">
        <f t="shared" si="2"/>
        <v>644096</v>
      </c>
      <c r="I23" s="21"/>
      <c r="J23" s="21"/>
      <c r="K23" s="21"/>
      <c r="L23" s="6"/>
    </row>
    <row r="24" spans="1:12">
      <c r="A24" s="21">
        <v>5</v>
      </c>
      <c r="B24" s="32" t="s">
        <v>49</v>
      </c>
      <c r="C24" s="21" t="s">
        <v>50</v>
      </c>
      <c r="D24" s="21" t="s">
        <v>51</v>
      </c>
      <c r="E24" s="21">
        <v>2</v>
      </c>
      <c r="F24" s="28">
        <f t="shared" si="0"/>
        <v>340000</v>
      </c>
      <c r="G24" s="28">
        <f t="shared" si="1"/>
        <v>17952</v>
      </c>
      <c r="H24" s="28">
        <f t="shared" si="2"/>
        <v>322048</v>
      </c>
      <c r="I24" s="21"/>
      <c r="J24" s="21"/>
      <c r="K24" s="21"/>
      <c r="L24" s="6"/>
    </row>
    <row r="25" spans="1:12">
      <c r="A25" s="21">
        <v>6</v>
      </c>
      <c r="B25" s="26" t="s">
        <v>52</v>
      </c>
      <c r="C25" s="21" t="s">
        <v>53</v>
      </c>
      <c r="D25" s="31" t="s">
        <v>54</v>
      </c>
      <c r="E25" s="27">
        <v>2</v>
      </c>
      <c r="F25" s="28">
        <f t="shared" si="0"/>
        <v>340000</v>
      </c>
      <c r="G25" s="28">
        <f t="shared" si="1"/>
        <v>17952</v>
      </c>
      <c r="H25" s="28">
        <f t="shared" si="2"/>
        <v>322048</v>
      </c>
      <c r="I25" s="21"/>
      <c r="J25" s="21"/>
      <c r="K25" s="21"/>
      <c r="L25" s="17"/>
    </row>
    <row r="26" spans="1:12">
      <c r="A26" s="21">
        <v>7</v>
      </c>
      <c r="B26" s="33" t="s">
        <v>55</v>
      </c>
      <c r="C26" s="30" t="s">
        <v>56</v>
      </c>
      <c r="D26" s="21" t="s">
        <v>51</v>
      </c>
      <c r="E26" s="21">
        <v>2</v>
      </c>
      <c r="F26" s="28">
        <f t="shared" si="0"/>
        <v>340000</v>
      </c>
      <c r="G26" s="28">
        <f t="shared" si="1"/>
        <v>17952</v>
      </c>
      <c r="H26" s="28">
        <f t="shared" si="2"/>
        <v>322048</v>
      </c>
      <c r="I26" s="21"/>
      <c r="J26" s="21"/>
      <c r="K26" s="21"/>
      <c r="L26" s="6"/>
    </row>
    <row r="27" spans="1:12">
      <c r="A27" s="21">
        <v>8</v>
      </c>
      <c r="B27" s="34" t="s">
        <v>57</v>
      </c>
      <c r="C27" s="35" t="s">
        <v>58</v>
      </c>
      <c r="D27" s="21" t="s">
        <v>59</v>
      </c>
      <c r="E27" s="21">
        <v>2</v>
      </c>
      <c r="F27" s="28">
        <f t="shared" si="0"/>
        <v>340000</v>
      </c>
      <c r="G27" s="28">
        <f t="shared" si="1"/>
        <v>17952</v>
      </c>
      <c r="H27" s="28">
        <f t="shared" si="2"/>
        <v>322048</v>
      </c>
      <c r="I27" s="21"/>
      <c r="J27" s="21"/>
      <c r="K27" s="21"/>
      <c r="L27" s="6"/>
    </row>
    <row r="28" spans="1:12">
      <c r="A28" s="21"/>
      <c r="B28" s="26"/>
      <c r="C28" s="21"/>
      <c r="D28" s="21" t="s">
        <v>60</v>
      </c>
      <c r="E28" s="36">
        <f>SUM(E20:E27)</f>
        <v>22</v>
      </c>
      <c r="F28" s="28">
        <f t="shared" si="0"/>
        <v>3740000</v>
      </c>
      <c r="G28" s="28">
        <f>F28*5.28%</f>
        <v>197472</v>
      </c>
      <c r="H28" s="28">
        <f>F28-G28</f>
        <v>3542528</v>
      </c>
      <c r="I28" s="21"/>
      <c r="J28" s="21"/>
      <c r="K28" s="21"/>
      <c r="L28" s="6"/>
    </row>
    <row r="29" spans="1:12">
      <c r="A29" s="21"/>
      <c r="B29" s="37" t="s">
        <v>61</v>
      </c>
      <c r="C29" s="21"/>
      <c r="D29" s="21"/>
      <c r="E29" s="27"/>
      <c r="F29" s="28"/>
      <c r="G29" s="28"/>
      <c r="H29" s="28"/>
      <c r="I29" s="21"/>
      <c r="J29" s="21"/>
      <c r="K29" s="21"/>
      <c r="L29" s="6"/>
    </row>
    <row r="30" spans="1:12">
      <c r="A30" s="21">
        <v>1</v>
      </c>
      <c r="B30" s="26" t="s">
        <v>62</v>
      </c>
      <c r="C30" s="26" t="s">
        <v>63</v>
      </c>
      <c r="D30" s="21" t="s">
        <v>64</v>
      </c>
      <c r="E30" s="27">
        <v>4</v>
      </c>
      <c r="F30" s="28">
        <f t="shared" ref="F30:F38" si="3">E30*170000</f>
        <v>680000</v>
      </c>
      <c r="G30" s="28">
        <f>F30*5.28%</f>
        <v>35904</v>
      </c>
      <c r="H30" s="28">
        <f>F30-G30</f>
        <v>644096</v>
      </c>
      <c r="I30" s="21"/>
      <c r="J30" s="21"/>
      <c r="K30" s="21"/>
      <c r="L30" s="6"/>
    </row>
    <row r="31" spans="1:12">
      <c r="A31" s="38">
        <v>2</v>
      </c>
      <c r="B31" s="26" t="s">
        <v>65</v>
      </c>
      <c r="C31" s="21" t="s">
        <v>66</v>
      </c>
      <c r="D31" s="31" t="s">
        <v>67</v>
      </c>
      <c r="E31" s="27">
        <v>2</v>
      </c>
      <c r="F31" s="28">
        <f t="shared" si="3"/>
        <v>340000</v>
      </c>
      <c r="G31" s="28">
        <f t="shared" ref="G31:G36" si="4">F31*5.28%</f>
        <v>17952</v>
      </c>
      <c r="H31" s="28">
        <f t="shared" ref="H31:H36" si="5">F31-G31</f>
        <v>322048</v>
      </c>
      <c r="I31" s="21"/>
      <c r="J31" s="21"/>
      <c r="K31" s="21"/>
      <c r="L31" s="6"/>
    </row>
    <row r="32" spans="1:12">
      <c r="A32" s="38">
        <v>3</v>
      </c>
      <c r="B32" s="26" t="s">
        <v>68</v>
      </c>
      <c r="C32" s="21" t="s">
        <v>69</v>
      </c>
      <c r="D32" s="31" t="s">
        <v>70</v>
      </c>
      <c r="E32" s="27">
        <v>2</v>
      </c>
      <c r="F32" s="28">
        <f t="shared" si="3"/>
        <v>340000</v>
      </c>
      <c r="G32" s="28">
        <f t="shared" si="4"/>
        <v>17952</v>
      </c>
      <c r="H32" s="28">
        <f t="shared" si="5"/>
        <v>322048</v>
      </c>
      <c r="I32" s="21"/>
      <c r="J32" s="21"/>
      <c r="K32" s="21"/>
      <c r="L32" s="6"/>
    </row>
    <row r="33" spans="1:12">
      <c r="A33" s="21">
        <v>4</v>
      </c>
      <c r="B33" s="26" t="s">
        <v>71</v>
      </c>
      <c r="C33" s="21" t="s">
        <v>72</v>
      </c>
      <c r="D33" s="21" t="s">
        <v>73</v>
      </c>
      <c r="E33" s="39">
        <v>2</v>
      </c>
      <c r="F33" s="40">
        <f t="shared" si="3"/>
        <v>340000</v>
      </c>
      <c r="G33" s="28">
        <f t="shared" si="4"/>
        <v>17952</v>
      </c>
      <c r="H33" s="28">
        <f t="shared" si="5"/>
        <v>322048</v>
      </c>
      <c r="I33" s="41"/>
      <c r="J33" s="41"/>
      <c r="K33" s="41"/>
      <c r="L33" s="6"/>
    </row>
    <row r="34" spans="1:12">
      <c r="A34" s="38">
        <v>5</v>
      </c>
      <c r="B34" s="26" t="s">
        <v>74</v>
      </c>
      <c r="C34" s="21" t="s">
        <v>75</v>
      </c>
      <c r="D34" s="31" t="s">
        <v>54</v>
      </c>
      <c r="E34" s="27">
        <v>2</v>
      </c>
      <c r="F34" s="28">
        <f t="shared" si="3"/>
        <v>340000</v>
      </c>
      <c r="G34" s="28">
        <f t="shared" si="4"/>
        <v>17952</v>
      </c>
      <c r="H34" s="28">
        <f t="shared" si="5"/>
        <v>322048</v>
      </c>
      <c r="I34" s="42"/>
      <c r="J34" s="42"/>
      <c r="K34" s="21"/>
      <c r="L34" s="6"/>
    </row>
    <row r="35" spans="1:12">
      <c r="A35" s="38">
        <v>6</v>
      </c>
      <c r="B35" s="26" t="s">
        <v>76</v>
      </c>
      <c r="C35" s="21" t="s">
        <v>77</v>
      </c>
      <c r="D35" s="21" t="s">
        <v>78</v>
      </c>
      <c r="E35" s="27">
        <v>2</v>
      </c>
      <c r="F35" s="28">
        <f t="shared" si="3"/>
        <v>340000</v>
      </c>
      <c r="G35" s="28">
        <f t="shared" si="4"/>
        <v>17952</v>
      </c>
      <c r="H35" s="28">
        <f t="shared" si="5"/>
        <v>322048</v>
      </c>
      <c r="I35" s="43"/>
      <c r="J35" s="43"/>
      <c r="K35" s="41"/>
      <c r="L35" s="6"/>
    </row>
    <row r="36" spans="1:12" s="49" customFormat="1">
      <c r="A36" s="44">
        <v>7</v>
      </c>
      <c r="B36" s="45" t="s">
        <v>79</v>
      </c>
      <c r="C36" s="46" t="s">
        <v>80</v>
      </c>
      <c r="D36" s="47" t="s">
        <v>81</v>
      </c>
      <c r="E36" s="44">
        <v>2</v>
      </c>
      <c r="F36" s="48">
        <f t="shared" si="3"/>
        <v>340000</v>
      </c>
      <c r="G36" s="48">
        <f t="shared" si="4"/>
        <v>17952</v>
      </c>
      <c r="H36" s="48">
        <f t="shared" si="5"/>
        <v>322048</v>
      </c>
      <c r="I36" s="44"/>
      <c r="J36" s="44"/>
      <c r="K36" s="44"/>
      <c r="L36" s="17"/>
    </row>
    <row r="37" spans="1:12" s="49" customFormat="1">
      <c r="A37" s="44">
        <v>9</v>
      </c>
      <c r="B37" s="50" t="s">
        <v>82</v>
      </c>
      <c r="C37" s="51" t="s">
        <v>80</v>
      </c>
      <c r="D37" s="47" t="s">
        <v>83</v>
      </c>
      <c r="E37" s="52">
        <v>1</v>
      </c>
      <c r="F37" s="48">
        <f t="shared" si="3"/>
        <v>170000</v>
      </c>
      <c r="G37" s="48">
        <f>F37*5.28%</f>
        <v>8976</v>
      </c>
      <c r="H37" s="48">
        <f>F37-G37</f>
        <v>161024</v>
      </c>
      <c r="I37" s="44"/>
      <c r="J37" s="44"/>
      <c r="K37" s="44"/>
      <c r="L37" s="17"/>
    </row>
    <row r="38" spans="1:12">
      <c r="A38" s="21"/>
      <c r="B38" s="26"/>
      <c r="C38" s="21"/>
      <c r="D38" s="21" t="s">
        <v>60</v>
      </c>
      <c r="E38" s="36">
        <f>SUM(E30:E37)</f>
        <v>17</v>
      </c>
      <c r="F38" s="28">
        <f t="shared" si="3"/>
        <v>2890000</v>
      </c>
      <c r="G38" s="28">
        <f>F38*5.28%</f>
        <v>152592</v>
      </c>
      <c r="H38" s="28">
        <f>F38-G38</f>
        <v>2737408</v>
      </c>
      <c r="I38" s="21"/>
      <c r="J38" s="21"/>
      <c r="K38" s="21"/>
      <c r="L38" s="6"/>
    </row>
    <row r="39" spans="1:12">
      <c r="A39" s="53"/>
      <c r="B39" s="54"/>
      <c r="C39" s="14"/>
      <c r="D39" s="14"/>
      <c r="E39" s="55"/>
      <c r="F39" s="6"/>
      <c r="G39" s="6"/>
      <c r="H39" s="6"/>
      <c r="I39" s="14"/>
      <c r="J39" s="56"/>
      <c r="K39" s="21"/>
      <c r="L39" s="6"/>
    </row>
    <row r="40" spans="1:12">
      <c r="A40" s="57"/>
      <c r="B40" s="58"/>
      <c r="C40" s="59"/>
      <c r="D40" s="60" t="s">
        <v>84</v>
      </c>
      <c r="E40" s="36"/>
      <c r="F40" s="36"/>
      <c r="G40" s="36"/>
      <c r="H40" s="36"/>
      <c r="I40" s="61"/>
      <c r="J40" s="62"/>
      <c r="K40" s="61"/>
      <c r="L40" s="63"/>
    </row>
    <row r="41" spans="1:12">
      <c r="A41" s="21">
        <v>1</v>
      </c>
      <c r="B41" s="26" t="s">
        <v>85</v>
      </c>
      <c r="C41" s="64" t="s">
        <v>86</v>
      </c>
      <c r="D41" s="29" t="s">
        <v>87</v>
      </c>
      <c r="E41" s="27">
        <v>3</v>
      </c>
      <c r="F41" s="28">
        <f>E41*170000</f>
        <v>510000</v>
      </c>
      <c r="G41" s="28">
        <f>F41*5.28%</f>
        <v>26928</v>
      </c>
      <c r="H41" s="28">
        <f>F41-G41</f>
        <v>483072</v>
      </c>
      <c r="I41" s="26"/>
      <c r="J41" s="26"/>
      <c r="K41" s="21"/>
      <c r="L41" s="4"/>
    </row>
    <row r="42" spans="1:12">
      <c r="A42" s="65">
        <v>2</v>
      </c>
      <c r="B42" s="26" t="s">
        <v>88</v>
      </c>
      <c r="C42" s="65" t="s">
        <v>89</v>
      </c>
      <c r="D42" s="65" t="s">
        <v>90</v>
      </c>
      <c r="E42" s="65">
        <v>2</v>
      </c>
      <c r="F42" s="28">
        <f>E42*170000</f>
        <v>340000</v>
      </c>
      <c r="G42" s="28">
        <f>F42*5.28%</f>
        <v>17952</v>
      </c>
      <c r="H42" s="28">
        <f>F42-G42</f>
        <v>322048</v>
      </c>
      <c r="I42" s="58"/>
      <c r="J42" s="28"/>
      <c r="K42" s="28"/>
      <c r="L42" s="14"/>
    </row>
    <row r="43" spans="1:12">
      <c r="A43" s="66"/>
      <c r="B43" s="58"/>
      <c r="C43" s="59"/>
      <c r="D43" s="21" t="s">
        <v>60</v>
      </c>
      <c r="E43" s="36">
        <f>SUM(E41:E42)</f>
        <v>5</v>
      </c>
      <c r="F43" s="28">
        <f>E43*170000</f>
        <v>850000</v>
      </c>
      <c r="G43" s="28">
        <f>F43*5.28%</f>
        <v>44880</v>
      </c>
      <c r="H43" s="28">
        <f>F43-G43</f>
        <v>805120</v>
      </c>
      <c r="I43" s="61"/>
      <c r="J43" s="61"/>
      <c r="K43" s="61"/>
      <c r="L43" s="63"/>
    </row>
    <row r="44" spans="1:12">
      <c r="A44" s="66"/>
      <c r="B44" s="58"/>
      <c r="C44" s="67"/>
      <c r="D44" s="68"/>
      <c r="E44" s="69"/>
      <c r="F44" s="28"/>
      <c r="G44" s="28"/>
      <c r="H44" s="28"/>
      <c r="I44" s="61"/>
      <c r="J44" s="61"/>
      <c r="K44" s="61"/>
      <c r="L44" s="63"/>
    </row>
    <row r="45" spans="1:12">
      <c r="A45" s="66"/>
      <c r="B45" s="70"/>
      <c r="C45" s="59"/>
      <c r="D45" s="21" t="s">
        <v>91</v>
      </c>
      <c r="E45" s="36"/>
      <c r="F45" s="71"/>
      <c r="G45" s="71"/>
      <c r="H45" s="71"/>
      <c r="I45" s="61"/>
      <c r="J45" s="61"/>
      <c r="K45" s="61"/>
      <c r="L45" s="63"/>
    </row>
    <row r="46" spans="1:12">
      <c r="A46" s="38">
        <v>1</v>
      </c>
      <c r="B46" s="26" t="s">
        <v>92</v>
      </c>
      <c r="C46" s="21" t="s">
        <v>93</v>
      </c>
      <c r="D46" s="21" t="s">
        <v>94</v>
      </c>
      <c r="E46" s="27">
        <v>5</v>
      </c>
      <c r="F46" s="28">
        <f>E46*170000</f>
        <v>850000</v>
      </c>
      <c r="G46" s="28">
        <f>F46*5.28%</f>
        <v>44880</v>
      </c>
      <c r="H46" s="28">
        <f>F46-G46</f>
        <v>805120</v>
      </c>
      <c r="I46" s="21"/>
      <c r="J46" s="21"/>
      <c r="K46" s="21"/>
      <c r="L46" s="17"/>
    </row>
    <row r="47" spans="1:12">
      <c r="A47" s="66"/>
      <c r="B47" s="70"/>
      <c r="C47" s="59"/>
      <c r="D47" s="21" t="s">
        <v>60</v>
      </c>
      <c r="E47" s="36">
        <f>SUM(E46)</f>
        <v>5</v>
      </c>
      <c r="F47" s="28">
        <f>E47*170000</f>
        <v>850000</v>
      </c>
      <c r="G47" s="28">
        <f>F47*5.28%</f>
        <v>44880</v>
      </c>
      <c r="H47" s="28">
        <f>F47-G47</f>
        <v>805120</v>
      </c>
      <c r="I47" s="61"/>
      <c r="J47" s="61"/>
      <c r="K47" s="61"/>
      <c r="L47" s="63"/>
    </row>
    <row r="48" spans="1:12">
      <c r="A48" s="66"/>
      <c r="B48" s="58"/>
      <c r="C48" s="59"/>
      <c r="D48" s="21"/>
      <c r="E48" s="36"/>
      <c r="F48" s="28"/>
      <c r="G48" s="28"/>
      <c r="H48" s="28"/>
      <c r="I48" s="61"/>
      <c r="J48" s="61"/>
      <c r="K48" s="61"/>
      <c r="L48" s="63"/>
    </row>
    <row r="49" spans="1:12">
      <c r="A49" s="21"/>
      <c r="B49" s="99" t="s">
        <v>95</v>
      </c>
      <c r="C49" s="99"/>
      <c r="D49" s="99"/>
      <c r="E49" s="99"/>
      <c r="F49" s="99"/>
      <c r="G49" s="99"/>
      <c r="H49" s="99"/>
      <c r="I49" s="99"/>
      <c r="J49" s="72"/>
      <c r="K49" s="21"/>
      <c r="L49" s="6"/>
    </row>
    <row r="50" spans="1:12">
      <c r="A50" s="21">
        <v>1</v>
      </c>
      <c r="B50" s="26" t="s">
        <v>96</v>
      </c>
      <c r="C50" s="21" t="s">
        <v>97</v>
      </c>
      <c r="D50" s="21" t="s">
        <v>98</v>
      </c>
      <c r="E50" s="27">
        <v>6</v>
      </c>
      <c r="F50" s="28">
        <f t="shared" ref="F50:F72" si="6">E50*170000</f>
        <v>1020000</v>
      </c>
      <c r="G50" s="28">
        <f>F50*5.28%</f>
        <v>53856</v>
      </c>
      <c r="H50" s="28">
        <f>F50-G50</f>
        <v>966144</v>
      </c>
      <c r="I50" s="21"/>
      <c r="J50" s="21"/>
      <c r="K50" s="21"/>
      <c r="L50" s="6"/>
    </row>
    <row r="51" spans="1:12">
      <c r="A51" s="21">
        <v>2</v>
      </c>
      <c r="B51" s="26" t="s">
        <v>99</v>
      </c>
      <c r="C51" s="21" t="s">
        <v>100</v>
      </c>
      <c r="D51" s="21" t="s">
        <v>51</v>
      </c>
      <c r="E51" s="21">
        <v>1</v>
      </c>
      <c r="F51" s="28">
        <f t="shared" si="6"/>
        <v>170000</v>
      </c>
      <c r="G51" s="28">
        <f t="shared" ref="G51:G70" si="7">F51*5.28%</f>
        <v>8976</v>
      </c>
      <c r="H51" s="28">
        <f t="shared" ref="H51:H70" si="8">F51-G51</f>
        <v>161024</v>
      </c>
      <c r="I51" s="21"/>
      <c r="J51" s="21"/>
      <c r="K51" s="21"/>
      <c r="L51" s="10"/>
    </row>
    <row r="52" spans="1:12">
      <c r="A52" s="21">
        <v>3</v>
      </c>
      <c r="B52" s="32" t="s">
        <v>101</v>
      </c>
      <c r="C52" s="73" t="s">
        <v>102</v>
      </c>
      <c r="D52" s="74" t="s">
        <v>103</v>
      </c>
      <c r="E52" s="21">
        <v>2</v>
      </c>
      <c r="F52" s="28">
        <f t="shared" si="6"/>
        <v>340000</v>
      </c>
      <c r="G52" s="28">
        <f t="shared" si="7"/>
        <v>17952</v>
      </c>
      <c r="H52" s="28">
        <f t="shared" si="8"/>
        <v>322048</v>
      </c>
      <c r="I52" s="73"/>
      <c r="J52" s="73"/>
      <c r="K52" s="21"/>
      <c r="L52" s="6"/>
    </row>
    <row r="53" spans="1:12">
      <c r="A53" s="21">
        <v>4</v>
      </c>
      <c r="B53" s="75" t="s">
        <v>104</v>
      </c>
      <c r="C53" s="76" t="s">
        <v>105</v>
      </c>
      <c r="D53" s="41" t="s">
        <v>106</v>
      </c>
      <c r="E53" s="41">
        <v>1</v>
      </c>
      <c r="F53" s="28">
        <f t="shared" si="6"/>
        <v>170000</v>
      </c>
      <c r="G53" s="28">
        <f t="shared" si="7"/>
        <v>8976</v>
      </c>
      <c r="H53" s="28">
        <f t="shared" si="8"/>
        <v>161024</v>
      </c>
      <c r="I53" s="28"/>
      <c r="J53" s="41"/>
      <c r="K53" s="28"/>
      <c r="L53" s="77"/>
    </row>
    <row r="54" spans="1:12">
      <c r="A54" s="21">
        <v>5</v>
      </c>
      <c r="B54" s="78" t="s">
        <v>107</v>
      </c>
      <c r="C54" s="79" t="s">
        <v>108</v>
      </c>
      <c r="D54" s="80" t="s">
        <v>109</v>
      </c>
      <c r="E54" s="27">
        <v>1</v>
      </c>
      <c r="F54" s="28">
        <f t="shared" si="6"/>
        <v>170000</v>
      </c>
      <c r="G54" s="28">
        <f t="shared" si="7"/>
        <v>8976</v>
      </c>
      <c r="H54" s="28">
        <f t="shared" si="8"/>
        <v>161024</v>
      </c>
      <c r="I54" s="44"/>
      <c r="J54" s="44"/>
      <c r="K54" s="44"/>
      <c r="L54" s="17"/>
    </row>
    <row r="55" spans="1:12">
      <c r="A55" s="21">
        <v>6</v>
      </c>
      <c r="B55" s="81" t="s">
        <v>110</v>
      </c>
      <c r="C55" s="80" t="s">
        <v>111</v>
      </c>
      <c r="D55" s="82" t="s">
        <v>112</v>
      </c>
      <c r="E55" s="27">
        <v>1</v>
      </c>
      <c r="F55" s="28">
        <f t="shared" si="6"/>
        <v>170000</v>
      </c>
      <c r="G55" s="28">
        <f t="shared" si="7"/>
        <v>8976</v>
      </c>
      <c r="H55" s="28">
        <f t="shared" si="8"/>
        <v>161024</v>
      </c>
      <c r="I55" s="21"/>
      <c r="J55" s="21"/>
      <c r="K55" s="21"/>
      <c r="L55" s="6"/>
    </row>
    <row r="56" spans="1:12">
      <c r="A56" s="21">
        <v>7</v>
      </c>
      <c r="B56" s="83" t="s">
        <v>113</v>
      </c>
      <c r="C56" s="83" t="s">
        <v>114</v>
      </c>
      <c r="D56" s="80" t="s">
        <v>115</v>
      </c>
      <c r="E56" s="27">
        <v>3</v>
      </c>
      <c r="F56" s="28">
        <f t="shared" si="6"/>
        <v>510000</v>
      </c>
      <c r="G56" s="28">
        <f t="shared" si="7"/>
        <v>26928</v>
      </c>
      <c r="H56" s="28">
        <f t="shared" si="8"/>
        <v>483072</v>
      </c>
      <c r="I56" s="21"/>
      <c r="J56" s="21"/>
      <c r="K56" s="21"/>
      <c r="L56" s="6"/>
    </row>
    <row r="57" spans="1:12">
      <c r="A57" s="21">
        <v>8</v>
      </c>
      <c r="B57" s="84" t="s">
        <v>116</v>
      </c>
      <c r="C57" s="85" t="s">
        <v>117</v>
      </c>
      <c r="D57" s="21" t="s">
        <v>103</v>
      </c>
      <c r="E57" s="27">
        <v>2</v>
      </c>
      <c r="F57" s="28">
        <f t="shared" si="6"/>
        <v>340000</v>
      </c>
      <c r="G57" s="28">
        <f t="shared" si="7"/>
        <v>17952</v>
      </c>
      <c r="H57" s="28">
        <f t="shared" si="8"/>
        <v>322048</v>
      </c>
      <c r="I57" s="21"/>
      <c r="J57" s="21"/>
      <c r="K57" s="21"/>
      <c r="L57" s="6"/>
    </row>
    <row r="58" spans="1:12">
      <c r="A58" s="21">
        <v>9</v>
      </c>
      <c r="B58" s="26" t="s">
        <v>118</v>
      </c>
      <c r="C58" s="21" t="s">
        <v>119</v>
      </c>
      <c r="D58" s="21" t="s">
        <v>120</v>
      </c>
      <c r="E58" s="27">
        <v>4</v>
      </c>
      <c r="F58" s="28">
        <f t="shared" si="6"/>
        <v>680000</v>
      </c>
      <c r="G58" s="28">
        <f t="shared" si="7"/>
        <v>35904</v>
      </c>
      <c r="H58" s="28">
        <f t="shared" si="8"/>
        <v>644096</v>
      </c>
      <c r="I58" s="21"/>
      <c r="J58" s="21"/>
      <c r="K58" s="21"/>
      <c r="L58" s="6"/>
    </row>
    <row r="59" spans="1:12" s="49" customFormat="1">
      <c r="A59" s="21">
        <v>10</v>
      </c>
      <c r="B59" s="86" t="s">
        <v>121</v>
      </c>
      <c r="C59" s="44" t="s">
        <v>122</v>
      </c>
      <c r="D59" s="44" t="s">
        <v>123</v>
      </c>
      <c r="E59" s="52">
        <v>3</v>
      </c>
      <c r="F59" s="48">
        <f t="shared" si="6"/>
        <v>510000</v>
      </c>
      <c r="G59" s="28">
        <f t="shared" si="7"/>
        <v>26928</v>
      </c>
      <c r="H59" s="28">
        <f t="shared" si="8"/>
        <v>483072</v>
      </c>
      <c r="I59" s="48"/>
      <c r="J59" s="48"/>
      <c r="K59" s="44"/>
      <c r="L59" s="17"/>
    </row>
    <row r="60" spans="1:12">
      <c r="A60" s="21">
        <v>11</v>
      </c>
      <c r="B60" s="83" t="s">
        <v>124</v>
      </c>
      <c r="C60" s="83" t="s">
        <v>125</v>
      </c>
      <c r="D60" s="80" t="s">
        <v>126</v>
      </c>
      <c r="E60" s="27">
        <v>1</v>
      </c>
      <c r="F60" s="28">
        <f t="shared" si="6"/>
        <v>170000</v>
      </c>
      <c r="G60" s="28">
        <f t="shared" si="7"/>
        <v>8976</v>
      </c>
      <c r="H60" s="28">
        <f t="shared" si="8"/>
        <v>161024</v>
      </c>
      <c r="I60" s="87"/>
      <c r="J60" s="80"/>
      <c r="K60" s="87"/>
      <c r="L60" s="6"/>
    </row>
    <row r="61" spans="1:12">
      <c r="A61" s="21">
        <v>12</v>
      </c>
      <c r="B61" s="83" t="s">
        <v>127</v>
      </c>
      <c r="C61" s="83" t="s">
        <v>128</v>
      </c>
      <c r="D61" s="80" t="s">
        <v>126</v>
      </c>
      <c r="E61" s="27">
        <v>1</v>
      </c>
      <c r="F61" s="28">
        <f t="shared" si="6"/>
        <v>170000</v>
      </c>
      <c r="G61" s="28">
        <f t="shared" si="7"/>
        <v>8976</v>
      </c>
      <c r="H61" s="28">
        <f t="shared" si="8"/>
        <v>161024</v>
      </c>
      <c r="I61" s="87"/>
      <c r="J61" s="80"/>
      <c r="K61" s="87"/>
      <c r="L61" s="6"/>
    </row>
    <row r="62" spans="1:12">
      <c r="A62" s="21">
        <v>13</v>
      </c>
      <c r="B62" s="83" t="s">
        <v>129</v>
      </c>
      <c r="C62" s="83" t="s">
        <v>130</v>
      </c>
      <c r="D62" s="80" t="s">
        <v>126</v>
      </c>
      <c r="E62" s="27">
        <v>1</v>
      </c>
      <c r="F62" s="28">
        <f t="shared" si="6"/>
        <v>170000</v>
      </c>
      <c r="G62" s="28">
        <f t="shared" si="7"/>
        <v>8976</v>
      </c>
      <c r="H62" s="28">
        <f t="shared" si="8"/>
        <v>161024</v>
      </c>
      <c r="I62" s="87"/>
      <c r="J62" s="80"/>
      <c r="K62" s="87"/>
      <c r="L62" s="6"/>
    </row>
    <row r="63" spans="1:12">
      <c r="A63" s="21">
        <v>14</v>
      </c>
      <c r="B63" s="83" t="s">
        <v>131</v>
      </c>
      <c r="C63" s="83" t="s">
        <v>132</v>
      </c>
      <c r="D63" s="80" t="s">
        <v>133</v>
      </c>
      <c r="E63" s="27">
        <v>2</v>
      </c>
      <c r="F63" s="28">
        <f t="shared" si="6"/>
        <v>340000</v>
      </c>
      <c r="G63" s="28">
        <f t="shared" si="7"/>
        <v>17952</v>
      </c>
      <c r="H63" s="28">
        <f t="shared" si="8"/>
        <v>322048</v>
      </c>
      <c r="I63" s="87"/>
      <c r="J63" s="80"/>
      <c r="K63" s="87"/>
      <c r="L63" s="6"/>
    </row>
    <row r="64" spans="1:12">
      <c r="A64" s="21">
        <v>15</v>
      </c>
      <c r="B64" s="88" t="s">
        <v>134</v>
      </c>
      <c r="C64" s="89" t="s">
        <v>135</v>
      </c>
      <c r="D64" s="64" t="s">
        <v>136</v>
      </c>
      <c r="E64" s="90">
        <v>4</v>
      </c>
      <c r="F64" s="28">
        <f t="shared" si="6"/>
        <v>680000</v>
      </c>
      <c r="G64" s="28">
        <f t="shared" si="7"/>
        <v>35904</v>
      </c>
      <c r="H64" s="28">
        <f t="shared" si="8"/>
        <v>644096</v>
      </c>
      <c r="I64" s="91"/>
      <c r="J64" s="92"/>
      <c r="K64" s="91"/>
      <c r="L64" s="6"/>
    </row>
    <row r="65" spans="1:12">
      <c r="A65" s="21">
        <v>16</v>
      </c>
      <c r="B65" s="93" t="s">
        <v>137</v>
      </c>
      <c r="C65" s="21" t="s">
        <v>138</v>
      </c>
      <c r="D65" s="21" t="s">
        <v>139</v>
      </c>
      <c r="E65" s="27">
        <v>0</v>
      </c>
      <c r="F65" s="28">
        <f t="shared" si="6"/>
        <v>0</v>
      </c>
      <c r="G65" s="28">
        <f t="shared" si="7"/>
        <v>0</v>
      </c>
      <c r="H65" s="28">
        <f t="shared" si="8"/>
        <v>0</v>
      </c>
      <c r="I65" s="21"/>
      <c r="J65" s="21" t="s">
        <v>140</v>
      </c>
      <c r="K65" s="21"/>
      <c r="L65" s="6"/>
    </row>
    <row r="66" spans="1:12" s="94" customFormat="1">
      <c r="A66" s="21">
        <v>17</v>
      </c>
      <c r="B66" s="26" t="s">
        <v>141</v>
      </c>
      <c r="C66" s="21" t="s">
        <v>142</v>
      </c>
      <c r="D66" s="21" t="s">
        <v>143</v>
      </c>
      <c r="E66" s="27">
        <v>4</v>
      </c>
      <c r="F66" s="28">
        <f t="shared" si="6"/>
        <v>680000</v>
      </c>
      <c r="G66" s="28">
        <f t="shared" si="7"/>
        <v>35904</v>
      </c>
      <c r="H66" s="28">
        <f t="shared" si="8"/>
        <v>644096</v>
      </c>
      <c r="I66" s="26"/>
      <c r="J66" s="26"/>
      <c r="K66" s="21"/>
      <c r="L66" s="6"/>
    </row>
    <row r="67" spans="1:12">
      <c r="A67" s="21">
        <v>18</v>
      </c>
      <c r="B67" s="26" t="s">
        <v>144</v>
      </c>
      <c r="C67" s="21" t="s">
        <v>80</v>
      </c>
      <c r="D67" s="27" t="s">
        <v>145</v>
      </c>
      <c r="E67" s="21">
        <v>2</v>
      </c>
      <c r="F67" s="28">
        <f t="shared" si="6"/>
        <v>340000</v>
      </c>
      <c r="G67" s="28">
        <f t="shared" si="7"/>
        <v>17952</v>
      </c>
      <c r="H67" s="28">
        <f t="shared" si="8"/>
        <v>322048</v>
      </c>
      <c r="I67" s="21"/>
      <c r="J67" s="21"/>
      <c r="K67" s="21"/>
      <c r="L67" s="6"/>
    </row>
    <row r="68" spans="1:12">
      <c r="A68" s="21">
        <v>19</v>
      </c>
      <c r="B68" s="26" t="s">
        <v>146</v>
      </c>
      <c r="C68" s="21" t="s">
        <v>147</v>
      </c>
      <c r="D68" s="27" t="s">
        <v>145</v>
      </c>
      <c r="E68" s="21">
        <v>2</v>
      </c>
      <c r="F68" s="28">
        <f t="shared" si="6"/>
        <v>340000</v>
      </c>
      <c r="G68" s="28">
        <f t="shared" si="7"/>
        <v>17952</v>
      </c>
      <c r="H68" s="28">
        <f t="shared" si="8"/>
        <v>322048</v>
      </c>
      <c r="I68" s="21"/>
      <c r="J68" s="21"/>
      <c r="K68" s="21"/>
      <c r="L68" s="6"/>
    </row>
    <row r="69" spans="1:12">
      <c r="A69" s="21">
        <v>20</v>
      </c>
      <c r="B69" s="26" t="s">
        <v>148</v>
      </c>
      <c r="C69" s="21" t="s">
        <v>80</v>
      </c>
      <c r="D69" s="27" t="s">
        <v>145</v>
      </c>
      <c r="E69" s="21">
        <v>2</v>
      </c>
      <c r="F69" s="28">
        <f t="shared" si="6"/>
        <v>340000</v>
      </c>
      <c r="G69" s="28">
        <f t="shared" si="7"/>
        <v>17952</v>
      </c>
      <c r="H69" s="28">
        <f t="shared" si="8"/>
        <v>322048</v>
      </c>
      <c r="I69" s="21"/>
      <c r="J69" s="21"/>
      <c r="K69" s="21"/>
      <c r="L69" s="6"/>
    </row>
    <row r="70" spans="1:12">
      <c r="A70" s="21">
        <v>21</v>
      </c>
      <c r="B70" s="26" t="s">
        <v>149</v>
      </c>
      <c r="C70" s="95" t="s">
        <v>150</v>
      </c>
      <c r="D70" s="27" t="s">
        <v>145</v>
      </c>
      <c r="E70" s="21">
        <v>2</v>
      </c>
      <c r="F70" s="28">
        <f t="shared" si="6"/>
        <v>340000</v>
      </c>
      <c r="G70" s="28">
        <f t="shared" si="7"/>
        <v>17952</v>
      </c>
      <c r="H70" s="28">
        <f t="shared" si="8"/>
        <v>322048</v>
      </c>
      <c r="I70" s="21"/>
      <c r="J70" s="21"/>
      <c r="K70" s="21"/>
      <c r="L70" s="6"/>
    </row>
    <row r="71" spans="1:12" s="94" customFormat="1">
      <c r="A71" s="21">
        <v>22</v>
      </c>
      <c r="B71" s="26" t="s">
        <v>151</v>
      </c>
      <c r="C71" s="21" t="s">
        <v>152</v>
      </c>
      <c r="D71" s="21" t="s">
        <v>153</v>
      </c>
      <c r="E71" s="27">
        <v>3</v>
      </c>
      <c r="F71" s="28">
        <f t="shared" si="6"/>
        <v>510000</v>
      </c>
      <c r="G71" s="28">
        <f>F71*5.28%</f>
        <v>26928</v>
      </c>
      <c r="H71" s="28">
        <f>F71-G71</f>
        <v>483072</v>
      </c>
      <c r="I71" s="21"/>
      <c r="J71" s="64"/>
      <c r="K71" s="21"/>
      <c r="L71" s="6"/>
    </row>
    <row r="72" spans="1:12">
      <c r="A72" s="21">
        <v>23</v>
      </c>
      <c r="B72" s="26" t="s">
        <v>154</v>
      </c>
      <c r="C72" s="95" t="s">
        <v>155</v>
      </c>
      <c r="D72" s="27" t="s">
        <v>145</v>
      </c>
      <c r="E72" s="21">
        <v>2</v>
      </c>
      <c r="F72" s="28">
        <f t="shared" si="6"/>
        <v>340000</v>
      </c>
      <c r="G72" s="28">
        <f t="shared" ref="G72" si="9">F72*5.28%</f>
        <v>17952</v>
      </c>
      <c r="H72" s="28">
        <f t="shared" ref="H72" si="10">F72-G72</f>
        <v>322048</v>
      </c>
      <c r="I72" s="21"/>
      <c r="J72" s="21"/>
      <c r="K72" s="21"/>
      <c r="L72" s="6"/>
    </row>
  </sheetData>
  <mergeCells count="4">
    <mergeCell ref="A14:J14"/>
    <mergeCell ref="B17:I17"/>
    <mergeCell ref="E18:E19"/>
    <mergeCell ref="B49:I4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Anatole Abe</cp:lastModifiedBy>
  <dcterms:created xsi:type="dcterms:W3CDTF">2025-03-12T09:09:31Z</dcterms:created>
  <dcterms:modified xsi:type="dcterms:W3CDTF">2025-06-15T03:47:50Z</dcterms:modified>
</cp:coreProperties>
</file>